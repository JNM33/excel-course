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 1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<sst xmlns="http://schemas.openxmlformats.org/spreadsheetml/2006/main" count="43" uniqueCount="30">
  <si>
    <t xml:space="preserve">  GYW · Excel for Mac — Lesson 11 Practice</t>
  </si>
  <si>
    <t xml:space="preserve">SUMIF &amp; COUNTIF</t>
  </si>
  <si>
    <t xml:space="preserve">Write SUMIF/SUMIFS/COUNTIF formulas against the regional sales data below.</t>
  </si>
  <si>
    <t xml:space="preserve">Tabs in this workbook</t>
  </si>
  <si>
    <t xml:space="preserve">Task 1</t>
  </si>
  <si>
    <t xml:space="preserve">SUMIF, COUNTIF, SUMIFS</t>
  </si>
  <si>
    <t xml:space="preserve">Answer Key</t>
  </si>
  <si>
    <t xml:space="preserve">Live correct formulas</t>
  </si>
  <si>
    <t xml:space="preserve">  Task 1 — SUMIF &amp; COUNTIF</t>
  </si>
  <si>
    <t xml:space="preserve">Reference the table below — use whole-column refs like A:A, C:C if you like.</t>
  </si>
  <si>
    <t xml:space="preserve">Region</t>
  </si>
  <si>
    <t xml:space="preserve">Quarter</t>
  </si>
  <si>
    <t xml:space="preserve">Sales</t>
  </si>
  <si>
    <t xml:space="preserve">North</t>
  </si>
  <si>
    <t xml:space="preserve">Q1</t>
  </si>
  <si>
    <t xml:space="preserve">South</t>
  </si>
  <si>
    <t xml:space="preserve">Q2</t>
  </si>
  <si>
    <t xml:space="preserve">East</t>
  </si>
  <si>
    <t xml:space="preserve">Q3</t>
  </si>
  <si>
    <t xml:space="preserve">#</t>
  </si>
  <si>
    <t xml:space="preserve">Write a formula that…</t>
  </si>
  <si>
    <t xml:space="preserve">Your Formula</t>
  </si>
  <si>
    <t xml:space="preserve">Check</t>
  </si>
  <si>
    <t xml:space="preserve">Sums all Sales where Region = "North"</t>
  </si>
  <si>
    <t xml:space="preserve">Counts how many rows have Region = "North"</t>
  </si>
  <si>
    <t xml:space="preserve">Sums Sales where Region="North" AND Quarter="Q1"</t>
  </si>
  <si>
    <t xml:space="preserve">Counts rows where Sales is greater than 50000</t>
  </si>
  <si>
    <t xml:space="preserve">  Answer Key</t>
  </si>
  <si>
    <t xml:space="preserve">Live formulas referencing Task 1's table.</t>
  </si>
  <si>
    <t xml:space="preserve">Q4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</si>
</sst>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</sheetData>
  <mergeCells count="4">
    <mergeCell ref="A2:F2"/>
    <mergeCell ref="B6:E6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3"/>
  </cols>
  <sheetData>
    <row r="1" customFormat="false" ht="19.7" hidden="false" customHeight="false" outlineLevel="0" collapsed="false">
      <c r="A1" s="2" t="s">
        <v>8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7" t="s">
        <v>9</v>
      </c>
    </row>
    <row r="5" customFormat="false" ht="15" hidden="false" customHeight="false" outlineLevel="0" collapsed="false">
      <c r="A5" s="8" t="s">
        <v>10</v>
      </c>
      <c r="B5" s="8" t="s">
        <v>11</v>
      </c>
      <c r="C5" s="8" t="s">
        <v>12</v>
      </c>
    </row>
    <row r="6" customFormat="false" ht="15" hidden="false" customHeight="false" outlineLevel="0" collapsed="false">
      <c r="A6" s="9" t="s">
        <v>13</v>
      </c>
      <c r="B6" s="9" t="s">
        <v>14</v>
      </c>
      <c r="C6" s="10" t="n">
        <v>45200</v>
      </c>
    </row>
    <row r="7" customFormat="false" ht="15" hidden="false" customHeight="false" outlineLevel="0" collapsed="false">
      <c r="A7" s="9" t="s">
        <v>15</v>
      </c>
      <c r="B7" s="9" t="s">
        <v>14</v>
      </c>
      <c r="C7" s="10" t="n">
        <v>38900</v>
      </c>
    </row>
    <row r="8" customFormat="false" ht="15" hidden="false" customHeight="false" outlineLevel="0" collapsed="false">
      <c r="A8" s="9" t="s">
        <v>13</v>
      </c>
      <c r="B8" s="9" t="s">
        <v>16</v>
      </c>
      <c r="C8" s="10" t="n">
        <v>52100</v>
      </c>
    </row>
    <row r="9" customFormat="false" ht="15" hidden="false" customHeight="false" outlineLevel="0" collapsed="false">
      <c r="A9" s="9" t="s">
        <v>17</v>
      </c>
      <c r="B9" s="9" t="s">
        <v>14</v>
      </c>
      <c r="C9" s="10" t="n">
        <v>61400</v>
      </c>
    </row>
    <row r="10" customFormat="false" ht="15" hidden="false" customHeight="false" outlineLevel="0" collapsed="false">
      <c r="A10" s="9" t="s">
        <v>13</v>
      </c>
      <c r="B10" s="9" t="s">
        <v>14</v>
      </c>
      <c r="C10" s="10" t="n">
        <v>33200</v>
      </c>
    </row>
    <row r="11" customFormat="false" ht="15" hidden="false" customHeight="false" outlineLevel="0" collapsed="false">
      <c r="A11" s="9" t="s">
        <v>15</v>
      </c>
      <c r="B11" s="9" t="s">
        <v>16</v>
      </c>
      <c r="C11" s="10" t="n">
        <v>47800</v>
      </c>
    </row>
    <row r="12" customFormat="false" ht="15" hidden="false" customHeight="false" outlineLevel="0" collapsed="false">
      <c r="A12" s="9" t="s">
        <v>17</v>
      </c>
      <c r="B12" s="9" t="s">
        <v>16</v>
      </c>
      <c r="C12" s="10" t="n">
        <v>58700</v>
      </c>
    </row>
    <row r="13" customFormat="false" ht="15" hidden="false" customHeight="false" outlineLevel="0" collapsed="false">
      <c r="A13" s="9" t="s">
        <v>13</v>
      </c>
      <c r="B13" s="9" t="s">
        <v>18</v>
      </c>
      <c r="C13" s="10" t="n">
        <v>62500</v>
      </c>
    </row>
    <row r="15" customFormat="false" ht="15" hidden="false" customHeight="false" outlineLevel="0" collapsed="false">
      <c r="A15" s="11" t="s">
        <v>19</v>
      </c>
      <c r="B15" s="12" t="s">
        <v>20</v>
      </c>
      <c r="C15" s="12"/>
      <c r="D15" s="11" t="s">
        <v>21</v>
      </c>
      <c r="E15" s="11" t="s">
        <v>22</v>
      </c>
    </row>
    <row r="16" customFormat="false" ht="25.5" hidden="false" customHeight="true" outlineLevel="0" collapsed="false">
      <c r="A16" s="13" t="n">
        <v>1</v>
      </c>
      <c r="B16" s="9" t="s">
        <v>23</v>
      </c>
      <c r="C16" s="9"/>
      <c r="D16" s="14"/>
      <c r="E16" s="15" t="str">
        <f aca="false">IF(ROUND(D16,2)=ROUND('Answer Key'!B5,2),"✓","✗")</f>
        <v>✗</v>
      </c>
    </row>
    <row r="17" customFormat="false" ht="25.5" hidden="false" customHeight="true" outlineLevel="0" collapsed="false">
      <c r="A17" s="13" t="n">
        <v>2</v>
      </c>
      <c r="B17" s="9" t="s">
        <v>24</v>
      </c>
      <c r="C17" s="9"/>
      <c r="D17" s="14"/>
      <c r="E17" s="15" t="str">
        <f aca="false">IF(ROUND(D17,2)=ROUND('Answer Key'!B6,2),"✓","✗")</f>
        <v>✗</v>
      </c>
    </row>
    <row r="18" customFormat="false" ht="25.5" hidden="false" customHeight="true" outlineLevel="0" collapsed="false">
      <c r="A18" s="13" t="n">
        <v>3</v>
      </c>
      <c r="B18" s="9" t="s">
        <v>25</v>
      </c>
      <c r="C18" s="9"/>
      <c r="D18" s="14"/>
      <c r="E18" s="15" t="str">
        <f aca="false">IF(ROUND(D18,2)=ROUND('Answer Key'!B7,2),"✓","✗")</f>
        <v>✗</v>
      </c>
    </row>
    <row r="19" customFormat="false" ht="25.5" hidden="false" customHeight="true" outlineLevel="0" collapsed="false">
      <c r="A19" s="13" t="n">
        <v>4</v>
      </c>
      <c r="B19" s="9" t="s">
        <v>26</v>
      </c>
      <c r="C19" s="9"/>
      <c r="D19" s="14"/>
      <c r="E19" s="15" t="str">
        <f aca="false">IF(ROUND(D19,2)=ROUND('Answer Key'!B8,2),"✓","✗")</f>
        <v>✗</v>
      </c>
    </row>
  </sheetData>
  <mergeCells count="6">
    <mergeCell ref="A1:F1"/>
    <mergeCell ref="B15:C15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27</v>
      </c>
      <c r="B1" s="2"/>
      <c r="C1" s="2"/>
      <c r="D1" s="2"/>
      <c r="E1" s="2"/>
    </row>
    <row r="3" customFormat="false" ht="15" hidden="false" customHeight="false" outlineLevel="0" collapsed="false">
      <c r="A3" s="7" t="s">
        <v>28</v>
      </c>
    </row>
    <row r="5" customFormat="false" ht="15" hidden="false" customHeight="false" outlineLevel="0" collapsed="false">
      <c r="A5" s="16" t="s">
        <v>14</v>
      </c>
      <c r="B5" s="17" t="n">
        <f aca="false">SUMIF('Task 1'!A6:A13,"North",'Task 1'!C6:C13)</f>
        <v>193000</v>
      </c>
    </row>
    <row r="6" customFormat="false" ht="15" hidden="false" customHeight="false" outlineLevel="0" collapsed="false">
      <c r="A6" s="16" t="s">
        <v>16</v>
      </c>
      <c r="B6" s="17" t="n">
        <f aca="false">COUNTIF('Task 1'!A6:A13,"North")</f>
        <v>4</v>
      </c>
    </row>
    <row r="7" customFormat="false" ht="15" hidden="false" customHeight="false" outlineLevel="0" collapsed="false">
      <c r="A7" s="16" t="s">
        <v>18</v>
      </c>
      <c r="B7" s="17" t="n">
        <f aca="false">SUMIFS('Task 1'!C6:C13,'Task 1'!A6:A13,"North",'Task 1'!B6:B13,"Q1")</f>
        <v>78400</v>
      </c>
    </row>
    <row r="8" customFormat="false" ht="15" hidden="false" customHeight="false" outlineLevel="0" collapsed="false">
      <c r="A8" s="16" t="s">
        <v>29</v>
      </c>
      <c r="B8" s="17" t="n">
        <f aca="false">COUNTIF('Task 1'!C6:C13,"&gt;50000")</f>
        <v>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2026-06-29T09:27:31Z</dcterms:created>
  <dc:creator>openpyxl</dc:creator>
  <dc:description/>
  <dc:language>en-US</dc:language>
  <cp:lastModifiedBy/>
  <dcterms:modified xsi:type="dcterms:W3CDTF">2026-06-29T09:27:31Z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