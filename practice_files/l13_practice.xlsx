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roducts" sheetId="2" state="visible" r:id="rId4"/>
    <sheet name="Orders" sheetId="3" state="visible" r:id="rId5"/>
    <sheet name="Answer Ke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<sst xmlns="http://schemas.openxmlformats.org/spreadsheetml/2006/main" count="47" uniqueCount="39">
  <si>
    <t xml:space="preserve">  GYW · Excel for Mac — Lesson 13 Practice</t>
  </si>
  <si>
    <t xml:space="preserve">VLOOKUP</t>
  </si>
  <si>
    <t xml:space="preserve">Use VLOOKUP to pull Name and Price from the Products table into the Orders table.</t>
  </si>
  <si>
    <t xml:space="preserve">Tabs in this workbook</t>
  </si>
  <si>
    <t xml:space="preserve">Products</t>
  </si>
  <si>
    <t xml:space="preserve">Lookup source table</t>
  </si>
  <si>
    <t xml:space="preserve">Orders</t>
  </si>
  <si>
    <t xml:space="preserve">Write your VLOOKUP formulas here</t>
  </si>
  <si>
    <t xml:space="preserve">Answer Key</t>
  </si>
  <si>
    <t xml:space="preserve">Live correct formulas</t>
  </si>
  <si>
    <t xml:space="preserve">  Products (lookup source)</t>
  </si>
  <si>
    <t xml:space="preserve">ID</t>
  </si>
  <si>
    <t xml:space="preserve">Name</t>
  </si>
  <si>
    <t xml:space="preserve">Price</t>
  </si>
  <si>
    <t xml:space="preserve">P001</t>
  </si>
  <si>
    <t xml:space="preserve">Widget A</t>
  </si>
  <si>
    <t xml:space="preserve">P002</t>
  </si>
  <si>
    <t xml:space="preserve">Widget B</t>
  </si>
  <si>
    <t xml:space="preserve">P003</t>
  </si>
  <si>
    <t xml:space="preserve">Gadget X</t>
  </si>
  <si>
    <t xml:space="preserve">P004</t>
  </si>
  <si>
    <t xml:space="preserve">Gadget Y</t>
  </si>
  <si>
    <t xml:space="preserve">P005</t>
  </si>
  <si>
    <t xml:space="preserve">Device Z</t>
  </si>
  <si>
    <t xml:space="preserve">  Orders — write your VLOOKUP here</t>
  </si>
  <si>
    <t xml:space="preserve">Order</t>
  </si>
  <si>
    <t xml:space="preserve">Product ID</t>
  </si>
  <si>
    <t xml:space="preserve">Name (VLOOKUP)</t>
  </si>
  <si>
    <t xml:space="preserve">Price (VLOOKUP)</t>
  </si>
  <si>
    <t xml:space="preserve">Check</t>
  </si>
  <si>
    <t xml:space="preserve">Check2</t>
  </si>
  <si>
    <t xml:space="preserve">ORD-1</t>
  </si>
  <si>
    <t xml:space="preserve">ORD-2</t>
  </si>
  <si>
    <t xml:space="preserve">ORD-3</t>
  </si>
  <si>
    <t xml:space="preserve">ORD-4</t>
  </si>
  <si>
    <t xml:space="preserve">ORD-5</t>
  </si>
  <si>
    <t xml:space="preserve">Hint: =VLOOKUP(B4,Products!$A:$C,2,FALSE) for Name, column 3 for Price.</t>
  </si>
  <si>
    <t xml:space="preserve">  Answer Key</t>
  </si>
  <si>
    <t xml:space="preserve">Live VLOOKUP formulas referencing the Products table.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</si>
</sst>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color rgb="FF1E7145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i val="true"/>
      <sz val="9"/>
      <color rgb="FF777777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9"/>
      <color rgb="FF999999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777777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7.3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8" customFormat="false" ht="15" hidden="false" customHeight="false" outlineLevel="0" collapsed="false">
      <c r="B8" s="5" t="s">
        <v>3</v>
      </c>
    </row>
    <row r="9" customFormat="false" ht="15" hidden="false" customHeight="false" outlineLevel="0" collapsed="false">
      <c r="B9" s="6" t="s">
        <v>4</v>
      </c>
      <c r="C9" s="4" t="s">
        <v>5</v>
      </c>
      <c r="D9" s="4"/>
      <c r="E9" s="4"/>
    </row>
    <row r="10" customFormat="false" ht="15" hidden="false" customHeight="false" outlineLevel="0" collapsed="false">
      <c r="B10" s="6" t="s">
        <v>6</v>
      </c>
      <c r="C10" s="4" t="s">
        <v>7</v>
      </c>
      <c r="D10" s="4"/>
      <c r="E10" s="4"/>
    </row>
    <row r="11" customFormat="false" ht="15" hidden="false" customHeight="false" outlineLevel="0" collapsed="false">
      <c r="B11" s="6" t="s">
        <v>8</v>
      </c>
      <c r="C11" s="4" t="s">
        <v>9</v>
      </c>
      <c r="D11" s="4"/>
      <c r="E11" s="4"/>
    </row>
  </sheetData>
  <mergeCells count="5">
    <mergeCell ref="A2:F2"/>
    <mergeCell ref="B6:E6"/>
    <mergeCell ref="C9:E9"/>
    <mergeCell ref="C10:E10"/>
    <mergeCell ref="C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2"/>
  </cols>
  <sheetData>
    <row r="1" customFormat="false" ht="19.7" hidden="false" customHeight="false" outlineLevel="0" collapsed="false">
      <c r="A1" s="2" t="s">
        <v>10</v>
      </c>
      <c r="B1" s="2"/>
      <c r="C1" s="2"/>
    </row>
    <row r="3" customFormat="false" ht="15" hidden="false" customHeight="false" outlineLevel="0" collapsed="false">
      <c r="A3" s="7" t="s">
        <v>11</v>
      </c>
      <c r="B3" s="7" t="s">
        <v>12</v>
      </c>
      <c r="C3" s="7" t="s">
        <v>13</v>
      </c>
    </row>
    <row r="4" customFormat="false" ht="15" hidden="false" customHeight="false" outlineLevel="0" collapsed="false">
      <c r="A4" s="8" t="s">
        <v>14</v>
      </c>
      <c r="B4" s="8" t="s">
        <v>15</v>
      </c>
      <c r="C4" s="9" t="n">
        <v>12.5</v>
      </c>
    </row>
    <row r="5" customFormat="false" ht="15" hidden="false" customHeight="false" outlineLevel="0" collapsed="false">
      <c r="A5" s="8" t="s">
        <v>16</v>
      </c>
      <c r="B5" s="8" t="s">
        <v>17</v>
      </c>
      <c r="C5" s="9" t="n">
        <v>18</v>
      </c>
    </row>
    <row r="6" customFormat="false" ht="15" hidden="false" customHeight="false" outlineLevel="0" collapsed="false">
      <c r="A6" s="8" t="s">
        <v>18</v>
      </c>
      <c r="B6" s="8" t="s">
        <v>19</v>
      </c>
      <c r="C6" s="9" t="n">
        <v>45</v>
      </c>
    </row>
    <row r="7" customFormat="false" ht="15" hidden="false" customHeight="false" outlineLevel="0" collapsed="false">
      <c r="A7" s="8" t="s">
        <v>20</v>
      </c>
      <c r="B7" s="8" t="s">
        <v>21</v>
      </c>
      <c r="C7" s="9" t="n">
        <v>62</v>
      </c>
    </row>
    <row r="8" customFormat="false" ht="15" hidden="false" customHeight="false" outlineLevel="0" collapsed="false">
      <c r="A8" s="8" t="s">
        <v>22</v>
      </c>
      <c r="B8" s="8" t="s">
        <v>23</v>
      </c>
      <c r="C8" s="9" t="n">
        <v>110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6" min="5" style="1" width="8"/>
  </cols>
  <sheetData>
    <row r="1" customFormat="false" ht="19.7" hidden="false" customHeight="false" outlineLevel="0" collapsed="false">
      <c r="A1" s="2" t="s">
        <v>24</v>
      </c>
      <c r="B1" s="2"/>
      <c r="C1" s="2"/>
      <c r="D1" s="2"/>
      <c r="E1" s="2"/>
    </row>
    <row r="3" customFormat="false" ht="15" hidden="false" customHeight="false" outlineLevel="0" collapsed="false">
      <c r="A3" s="7" t="s">
        <v>25</v>
      </c>
      <c r="B3" s="7" t="s">
        <v>26</v>
      </c>
      <c r="C3" s="7" t="s">
        <v>27</v>
      </c>
      <c r="D3" s="7" t="s">
        <v>28</v>
      </c>
      <c r="E3" s="10" t="s">
        <v>29</v>
      </c>
      <c r="F3" s="11" t="s">
        <v>30</v>
      </c>
    </row>
    <row r="4" customFormat="false" ht="15" hidden="false" customHeight="false" outlineLevel="0" collapsed="false">
      <c r="A4" s="8" t="s">
        <v>31</v>
      </c>
      <c r="B4" s="8" t="s">
        <v>18</v>
      </c>
      <c r="C4" s="12"/>
      <c r="D4" s="12"/>
      <c r="E4" s="13" t="str">
        <f aca="false">IF(TRIM(UPPER(SUBSTITUTE(C4," ","")))=TRIM(UPPER(SUBSTITUTE('Answer Key'!B6," ",""))),"✓","✗")</f>
        <v>✗</v>
      </c>
      <c r="F4" s="13" t="str">
        <f aca="false">IF(ROUND(D4,2)=ROUND('Answer Key'!C6,2),"✓","✗")</f>
        <v>✗</v>
      </c>
    </row>
    <row r="5" customFormat="false" ht="15" hidden="false" customHeight="false" outlineLevel="0" collapsed="false">
      <c r="A5" s="8" t="s">
        <v>32</v>
      </c>
      <c r="B5" s="8" t="s">
        <v>14</v>
      </c>
      <c r="C5" s="12"/>
      <c r="D5" s="12"/>
      <c r="E5" s="14" t="str">
        <f aca="false">IF(TRIM(UPPER(SUBSTITUTE(C5," ","")))=TRIM(UPPER(SUBSTITUTE('Answer Key'!B7," ",""))),"✓","✗")</f>
        <v>✗</v>
      </c>
      <c r="F5" s="13" t="str">
        <f aca="false">IF(ROUND(D5,2)=ROUND('Answer Key'!C7,2),"✓","✗")</f>
        <v>✗</v>
      </c>
    </row>
    <row r="6" customFormat="false" ht="15" hidden="false" customHeight="false" outlineLevel="0" collapsed="false">
      <c r="A6" s="8" t="s">
        <v>33</v>
      </c>
      <c r="B6" s="8" t="s">
        <v>22</v>
      </c>
      <c r="C6" s="12"/>
      <c r="D6" s="12"/>
      <c r="E6" s="13" t="str">
        <f aca="false">IF(TRIM(UPPER(SUBSTITUTE(C6," ","")))=TRIM(UPPER(SUBSTITUTE('Answer Key'!B8," ",""))),"✓","✗")</f>
        <v>✗</v>
      </c>
      <c r="F6" s="13" t="str">
        <f aca="false">IF(ROUND(D6,2)=ROUND('Answer Key'!C8,2),"✓","✗")</f>
        <v>✗</v>
      </c>
    </row>
    <row r="7" customFormat="false" ht="15" hidden="false" customHeight="false" outlineLevel="0" collapsed="false">
      <c r="A7" s="8" t="s">
        <v>34</v>
      </c>
      <c r="B7" s="8" t="s">
        <v>16</v>
      </c>
      <c r="C7" s="12"/>
      <c r="D7" s="12"/>
      <c r="E7" s="13" t="str">
        <f aca="false">IF(TRIM(UPPER(SUBSTITUTE(C7," ","")))=TRIM(UPPER(SUBSTITUTE('Answer Key'!B9," ",""))),"✓","✗")</f>
        <v>✗</v>
      </c>
      <c r="F7" s="13" t="str">
        <f aca="false">IF(ROUND(D7,2)=ROUND('Answer Key'!C9,2),"✓","✗")</f>
        <v>✗</v>
      </c>
    </row>
    <row r="8" customFormat="false" ht="15" hidden="false" customHeight="false" outlineLevel="0" collapsed="false">
      <c r="A8" s="8" t="s">
        <v>35</v>
      </c>
      <c r="B8" s="8" t="s">
        <v>20</v>
      </c>
      <c r="C8" s="12"/>
      <c r="D8" s="12"/>
      <c r="E8" s="13" t="str">
        <f aca="false">IF(TRIM(UPPER(SUBSTITUTE(C8," ","")))=TRIM(UPPER(SUBSTITUTE('Answer Key'!B10," ",""))),"✓","✗")</f>
        <v>✗</v>
      </c>
      <c r="F8" s="13" t="str">
        <f aca="false">IF(ROUND(D8,2)=ROUND('Answer Key'!C10,2),"✓","✗")</f>
        <v>✗</v>
      </c>
    </row>
    <row r="10" customFormat="false" ht="15" hidden="false" customHeight="false" outlineLevel="0" collapsed="false">
      <c r="A10" s="15" t="s">
        <v>36</v>
      </c>
      <c r="B10" s="15"/>
      <c r="C10" s="15"/>
      <c r="D10" s="15"/>
      <c r="E10" s="15"/>
    </row>
  </sheetData>
  <mergeCells count="2">
    <mergeCell ref="A1:E1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6"/>
    <col collapsed="false" customWidth="true" hidden="false" outlineLevel="0" max="5" min="5" style="1" width="30"/>
  </cols>
  <sheetData>
    <row r="1" customFormat="false" ht="19.7" hidden="false" customHeight="false" outlineLevel="0" collapsed="false">
      <c r="A1" s="2" t="s">
        <v>37</v>
      </c>
      <c r="B1" s="2"/>
      <c r="C1" s="2"/>
      <c r="D1" s="2"/>
      <c r="E1" s="2"/>
    </row>
    <row r="3" customFormat="false" ht="15" hidden="false" customHeight="false" outlineLevel="0" collapsed="false">
      <c r="A3" s="16" t="s">
        <v>38</v>
      </c>
    </row>
    <row r="5" customFormat="false" ht="15" hidden="false" customHeight="false" outlineLevel="0" collapsed="false">
      <c r="A5" s="10" t="s">
        <v>25</v>
      </c>
      <c r="B5" s="10" t="s">
        <v>12</v>
      </c>
      <c r="C5" s="10" t="s">
        <v>13</v>
      </c>
    </row>
    <row r="6" customFormat="false" ht="15" hidden="false" customHeight="false" outlineLevel="0" collapsed="false">
      <c r="A6" s="17" t="str">
        <f aca="false">Orders!A4</f>
        <v>ORD-1</v>
      </c>
      <c r="B6" s="18" t="str">
        <f aca="false">VLOOKUP(Orders!B4,Products!$A:$C,2,FALSE())</f>
        <v>Gadget X</v>
      </c>
      <c r="C6" s="19" t="n">
        <f aca="false">VLOOKUP(Orders!B4,Products!$A:$C,3,FALSE())</f>
        <v>45</v>
      </c>
    </row>
    <row r="7" customFormat="false" ht="15" hidden="false" customHeight="false" outlineLevel="0" collapsed="false">
      <c r="A7" s="17" t="str">
        <f aca="false">Orders!A5</f>
        <v>ORD-2</v>
      </c>
      <c r="B7" s="18" t="str">
        <f aca="false">VLOOKUP(Orders!B5,Products!$A:$C,2,FALSE())</f>
        <v>Widget A</v>
      </c>
      <c r="C7" s="19" t="n">
        <f aca="false">VLOOKUP(Orders!B5,Products!$A:$C,3,FALSE())</f>
        <v>12.5</v>
      </c>
    </row>
    <row r="8" customFormat="false" ht="15" hidden="false" customHeight="false" outlineLevel="0" collapsed="false">
      <c r="A8" s="17" t="str">
        <f aca="false">Orders!A6</f>
        <v>ORD-3</v>
      </c>
      <c r="B8" s="18" t="str">
        <f aca="false">VLOOKUP(Orders!B6,Products!$A:$C,2,FALSE())</f>
        <v>Device Z</v>
      </c>
      <c r="C8" s="19" t="n">
        <f aca="false">VLOOKUP(Orders!B6,Products!$A:$C,3,FALSE())</f>
        <v>110</v>
      </c>
    </row>
    <row r="9" customFormat="false" ht="15" hidden="false" customHeight="false" outlineLevel="0" collapsed="false">
      <c r="A9" s="17" t="str">
        <f aca="false">Orders!A7</f>
        <v>ORD-4</v>
      </c>
      <c r="B9" s="18" t="str">
        <f aca="false">VLOOKUP(Orders!B7,Products!$A:$C,2,FALSE())</f>
        <v>Widget B</v>
      </c>
      <c r="C9" s="19" t="n">
        <f aca="false">VLOOKUP(Orders!B7,Products!$A:$C,3,FALSE())</f>
        <v>18</v>
      </c>
    </row>
    <row r="10" customFormat="false" ht="15" hidden="false" customHeight="false" outlineLevel="0" collapsed="false">
      <c r="A10" s="17" t="str">
        <f aca="false">Orders!A8</f>
        <v>ORD-5</v>
      </c>
      <c r="B10" s="18" t="str">
        <f aca="false">VLOOKUP(Orders!B8,Products!$A:$C,2,FALSE())</f>
        <v>Gadget Y</v>
      </c>
      <c r="C10" s="19" t="n">
        <f aca="false">VLOOKUP(Orders!B8,Products!$A:$C,3,FALSE())</f>
        <v>62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2026-06-29T09:27:31Z</dcterms:created>
  <dc:creator>openpyxl</dc:creator>
  <dc:description/>
  <dc:language>en-US</dc:language>
  <cp:lastModifiedBy/>
  <dcterms:modified xsi:type="dcterms:W3CDTF">2026-06-29T09:27:31Z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