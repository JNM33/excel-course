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  <sheet name="Target Resul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<sst xmlns="http://schemas.openxmlformats.org/spreadsheetml/2006/main" count="61" uniqueCount="28">
  <si>
    <t xml:space="preserve">  GYW · Excel for Mac — Lesson 27 Practice</t>
  </si>
  <si>
    <t xml:space="preserve">Calculated Fields &amp; GETPIVOTDATA</t>
  </si>
  <si>
    <t xml:space="preserve">Build a pivot with Region in ROWS, Revenue and Cost in VALUES, then add a Calculated Field for Profit Margin. Finally, write a GETPIVOTDATA formula referencing one of its values.</t>
  </si>
  <si>
    <t xml:space="preserve">Tabs in this workbook</t>
  </si>
  <si>
    <t xml:space="preserve">Raw Data</t>
  </si>
  <si>
    <t xml:space="preserve">Source data with Revenue and Cost</t>
  </si>
  <si>
    <t xml:space="preserve">Target Result</t>
  </si>
  <si>
    <t xml:space="preserve">Numbers your pivot should match</t>
  </si>
  <si>
    <t xml:space="preserve">  Raw Data</t>
  </si>
  <si>
    <t xml:space="preserve">Month</t>
  </si>
  <si>
    <t xml:space="preserve">Region</t>
  </si>
  <si>
    <t xml:space="preserve">Product</t>
  </si>
  <si>
    <t xml:space="preserve">Revenue</t>
  </si>
  <si>
    <t xml:space="preserve">Cost</t>
  </si>
  <si>
    <t xml:space="preserve">Jan</t>
  </si>
  <si>
    <t xml:space="preserve">North</t>
  </si>
  <si>
    <t xml:space="preserve">Widget A</t>
  </si>
  <si>
    <t xml:space="preserve">South</t>
  </si>
  <si>
    <t xml:space="preserve">Gadget X</t>
  </si>
  <si>
    <t xml:space="preserve">Feb</t>
  </si>
  <si>
    <t xml:space="preserve">East</t>
  </si>
  <si>
    <t xml:space="preserve">Mar</t>
  </si>
  <si>
    <t xml:space="preserve">Device Z</t>
  </si>
  <si>
    <t xml:space="preserve">Steps: Insert → PivotTable → Region→ROWS, Revenue+Cost→VALUES → PivotTable Analyze → Fields, Items &amp; Sets → Calculated Field → name "Margin", formula = (Revenue-Cost)/Revenue.</t>
  </si>
  <si>
    <t xml:space="preserve">  Target Result — Revenue, Cost &amp; Margin by Region</t>
  </si>
  <si>
    <t xml:space="preserve">Built with SUMIFS for comparison.</t>
  </si>
  <si>
    <t xml:space="preserve">Margin</t>
  </si>
  <si>
    <t xml:space="preserve">GETPIVOTDATA equivalent: once your real pivot exists, =GETPIVOTDATA("Revenue",A1,"Region","North") would return the North revenue shown above.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</si>
</sst>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8" customFormat="false" ht="15" hidden="false" customHeight="false" outlineLevel="0" collapsed="false">
      <c r="B8" s="5" t="s">
        <v>3</v>
      </c>
    </row>
    <row r="9" customFormat="false" ht="15" hidden="false" customHeight="false" outlineLevel="0" collapsed="false">
      <c r="B9" s="6" t="s">
        <v>4</v>
      </c>
      <c r="C9" s="4" t="s">
        <v>5</v>
      </c>
      <c r="D9" s="4"/>
      <c r="E9" s="4"/>
    </row>
    <row r="10" customFormat="false" ht="15" hidden="false" customHeight="false" outlineLevel="0" collapsed="false">
      <c r="B10" s="6" t="s">
        <v>6</v>
      </c>
      <c r="C10" s="4" t="s">
        <v>7</v>
      </c>
      <c r="D10" s="4"/>
      <c r="E10" s="4"/>
    </row>
  </sheetData>
  <mergeCells count="4">
    <mergeCell ref="A2:F2"/>
    <mergeCell ref="B6:E6"/>
    <mergeCell ref="C9:E9"/>
    <mergeCell ref="C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7" hidden="false" customHeight="false" outlineLevel="0" collapsed="false">
      <c r="A1" s="2" t="s">
        <v>8</v>
      </c>
      <c r="B1" s="2"/>
      <c r="C1" s="2"/>
      <c r="D1" s="2"/>
      <c r="E1" s="2"/>
    </row>
    <row r="3" customFormat="false" ht="15" hidden="false" customHeight="false" outlineLevel="0" collapsed="false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</row>
    <row r="4" customFormat="false" ht="15" hidden="false" customHeight="false" outlineLevel="0" collapsed="false">
      <c r="A4" s="8" t="s">
        <v>14</v>
      </c>
      <c r="B4" s="8" t="s">
        <v>15</v>
      </c>
      <c r="C4" s="8" t="s">
        <v>16</v>
      </c>
      <c r="D4" s="9" t="n">
        <v>12500</v>
      </c>
      <c r="E4" s="9" t="n">
        <v>7750</v>
      </c>
    </row>
    <row r="5" customFormat="false" ht="15" hidden="false" customHeight="false" outlineLevel="0" collapsed="false">
      <c r="A5" s="8" t="s">
        <v>14</v>
      </c>
      <c r="B5" s="8" t="s">
        <v>17</v>
      </c>
      <c r="C5" s="8" t="s">
        <v>18</v>
      </c>
      <c r="D5" s="9" t="n">
        <v>8200</v>
      </c>
      <c r="E5" s="9" t="n">
        <v>5084</v>
      </c>
    </row>
    <row r="6" customFormat="false" ht="15" hidden="false" customHeight="false" outlineLevel="0" collapsed="false">
      <c r="A6" s="8" t="s">
        <v>19</v>
      </c>
      <c r="B6" s="8" t="s">
        <v>15</v>
      </c>
      <c r="C6" s="8" t="s">
        <v>18</v>
      </c>
      <c r="D6" s="9" t="n">
        <v>15000</v>
      </c>
      <c r="E6" s="9" t="n">
        <v>9300</v>
      </c>
    </row>
    <row r="7" customFormat="false" ht="15" hidden="false" customHeight="false" outlineLevel="0" collapsed="false">
      <c r="A7" s="8" t="s">
        <v>19</v>
      </c>
      <c r="B7" s="8" t="s">
        <v>20</v>
      </c>
      <c r="C7" s="8" t="s">
        <v>16</v>
      </c>
      <c r="D7" s="9" t="n">
        <v>9800</v>
      </c>
      <c r="E7" s="9" t="n">
        <v>6076</v>
      </c>
    </row>
    <row r="8" customFormat="false" ht="15" hidden="false" customHeight="false" outlineLevel="0" collapsed="false">
      <c r="A8" s="8" t="s">
        <v>21</v>
      </c>
      <c r="B8" s="8" t="s">
        <v>17</v>
      </c>
      <c r="C8" s="8" t="s">
        <v>16</v>
      </c>
      <c r="D8" s="9" t="n">
        <v>11300</v>
      </c>
      <c r="E8" s="9" t="n">
        <v>7006</v>
      </c>
    </row>
    <row r="9" customFormat="false" ht="15" hidden="false" customHeight="false" outlineLevel="0" collapsed="false">
      <c r="A9" s="8" t="s">
        <v>21</v>
      </c>
      <c r="B9" s="8" t="s">
        <v>15</v>
      </c>
      <c r="C9" s="8" t="s">
        <v>22</v>
      </c>
      <c r="D9" s="9" t="n">
        <v>22000</v>
      </c>
      <c r="E9" s="9" t="n">
        <v>13640</v>
      </c>
    </row>
    <row r="10" customFormat="false" ht="15" hidden="false" customHeight="false" outlineLevel="0" collapsed="false">
      <c r="A10" s="8" t="s">
        <v>21</v>
      </c>
      <c r="B10" s="8" t="s">
        <v>20</v>
      </c>
      <c r="C10" s="8" t="s">
        <v>18</v>
      </c>
      <c r="D10" s="9" t="n">
        <v>7500</v>
      </c>
      <c r="E10" s="9" t="n">
        <v>4650</v>
      </c>
    </row>
    <row r="11" customFormat="false" ht="15" hidden="false" customHeight="false" outlineLevel="0" collapsed="false">
      <c r="A11" s="8" t="s">
        <v>14</v>
      </c>
      <c r="B11" s="8" t="s">
        <v>20</v>
      </c>
      <c r="C11" s="8" t="s">
        <v>16</v>
      </c>
      <c r="D11" s="9" t="n">
        <v>6400</v>
      </c>
      <c r="E11" s="9" t="n">
        <v>3968</v>
      </c>
    </row>
    <row r="12" customFormat="false" ht="15" hidden="false" customHeight="false" outlineLevel="0" collapsed="false">
      <c r="A12" s="8" t="s">
        <v>19</v>
      </c>
      <c r="B12" s="8" t="s">
        <v>17</v>
      </c>
      <c r="C12" s="8" t="s">
        <v>18</v>
      </c>
      <c r="D12" s="9" t="n">
        <v>9100</v>
      </c>
      <c r="E12" s="9" t="n">
        <v>5642</v>
      </c>
    </row>
    <row r="13" customFormat="false" ht="15" hidden="false" customHeight="false" outlineLevel="0" collapsed="false">
      <c r="A13" s="8" t="s">
        <v>19</v>
      </c>
      <c r="B13" s="8" t="s">
        <v>15</v>
      </c>
      <c r="C13" s="8" t="s">
        <v>16</v>
      </c>
      <c r="D13" s="9" t="n">
        <v>13200</v>
      </c>
      <c r="E13" s="9" t="n">
        <v>8184</v>
      </c>
    </row>
    <row r="14" customFormat="false" ht="15" hidden="false" customHeight="false" outlineLevel="0" collapsed="false">
      <c r="A14" s="8" t="s">
        <v>21</v>
      </c>
      <c r="B14" s="8" t="s">
        <v>15</v>
      </c>
      <c r="C14" s="8" t="s">
        <v>16</v>
      </c>
      <c r="D14" s="9" t="n">
        <v>14800</v>
      </c>
      <c r="E14" s="9" t="n">
        <v>9176</v>
      </c>
    </row>
    <row r="15" customFormat="false" ht="15" hidden="false" customHeight="false" outlineLevel="0" collapsed="false">
      <c r="A15" s="8" t="s">
        <v>14</v>
      </c>
      <c r="B15" s="8" t="s">
        <v>17</v>
      </c>
      <c r="C15" s="8" t="s">
        <v>22</v>
      </c>
      <c r="D15" s="9" t="n">
        <v>18900</v>
      </c>
      <c r="E15" s="9" t="n">
        <v>11718</v>
      </c>
    </row>
    <row r="18" customFormat="false" ht="35.05" hidden="false" customHeight="true" outlineLevel="0" collapsed="false">
      <c r="A18" s="10" t="s">
        <v>23</v>
      </c>
      <c r="B18" s="10"/>
      <c r="C18" s="10"/>
      <c r="D18" s="10"/>
      <c r="E18" s="10"/>
      <c r="F18" s="10"/>
      <c r="G18" s="10"/>
    </row>
  </sheetData>
  <mergeCells count="2">
    <mergeCell ref="A1:E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4"/>
  </cols>
  <sheetData>
    <row r="1" customFormat="false" ht="19.7" hidden="false" customHeight="false" outlineLevel="0" collapsed="false">
      <c r="A1" s="2" t="s">
        <v>24</v>
      </c>
      <c r="B1" s="2"/>
      <c r="C1" s="2"/>
      <c r="D1" s="2"/>
    </row>
    <row r="3" customFormat="false" ht="15" hidden="false" customHeight="false" outlineLevel="0" collapsed="false">
      <c r="A3" s="11" t="s">
        <v>25</v>
      </c>
    </row>
    <row r="5" customFormat="false" ht="15" hidden="false" customHeight="false" outlineLevel="0" collapsed="false">
      <c r="A5" s="7" t="s">
        <v>10</v>
      </c>
      <c r="B5" s="7" t="s">
        <v>12</v>
      </c>
      <c r="C5" s="7" t="s">
        <v>13</v>
      </c>
      <c r="D5" s="7" t="s">
        <v>26</v>
      </c>
    </row>
    <row r="6" customFormat="false" ht="15" hidden="false" customHeight="false" outlineLevel="0" collapsed="false">
      <c r="A6" s="8" t="s">
        <v>15</v>
      </c>
      <c r="B6" s="12" t="n">
        <f aca="false">SUMIF('Raw Data'!B4:B15,A6,'Raw Data'!D4:D15)</f>
        <v>77500</v>
      </c>
      <c r="C6" s="12" t="n">
        <f aca="false">SUMIF('Raw Data'!B4:B15,A6,'Raw Data'!E4:E15)</f>
        <v>48050</v>
      </c>
      <c r="D6" s="13" t="n">
        <f aca="false">(B6-C6)/B6</f>
        <v>0.38</v>
      </c>
    </row>
    <row r="7" customFormat="false" ht="15" hidden="false" customHeight="false" outlineLevel="0" collapsed="false">
      <c r="A7" s="8" t="s">
        <v>17</v>
      </c>
      <c r="B7" s="12" t="n">
        <f aca="false">SUMIF('Raw Data'!B4:B15,A7,'Raw Data'!D4:D15)</f>
        <v>47500</v>
      </c>
      <c r="C7" s="12" t="n">
        <f aca="false">SUMIF('Raw Data'!B4:B15,A7,'Raw Data'!E4:E15)</f>
        <v>29450</v>
      </c>
      <c r="D7" s="13" t="n">
        <f aca="false">(B7-C7)/B7</f>
        <v>0.38</v>
      </c>
    </row>
    <row r="8" customFormat="false" ht="15" hidden="false" customHeight="false" outlineLevel="0" collapsed="false">
      <c r="A8" s="8" t="s">
        <v>20</v>
      </c>
      <c r="B8" s="12" t="n">
        <f aca="false">SUMIF('Raw Data'!B4:B15,A8,'Raw Data'!D4:D15)</f>
        <v>23700</v>
      </c>
      <c r="C8" s="12" t="n">
        <f aca="false">SUMIF('Raw Data'!B4:B15,A8,'Raw Data'!E4:E15)</f>
        <v>14694</v>
      </c>
      <c r="D8" s="13" t="n">
        <f aca="false">(B8-C8)/B8</f>
        <v>0.38</v>
      </c>
    </row>
    <row r="11" customFormat="false" ht="15" hidden="false" customHeight="false" outlineLevel="0" collapsed="false">
      <c r="A11" s="14" t="s">
        <v>27</v>
      </c>
      <c r="B11" s="14"/>
      <c r="C11" s="14"/>
      <c r="D11" s="14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2026-06-29T09:35:40Z</dcterms:created>
  <dc:creator>openpyxl</dc:creator>
  <dc:description/>
  <dc:language>en-US</dc:language>
  <cp:lastModifiedBy/>
  <dcterms:modified xsi:type="dcterms:W3CDTF">2026-06-29T09:35:40Z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